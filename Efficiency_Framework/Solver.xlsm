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оман\Desktop\х\4 курс\Моделирование систем\Efficiency_Framework\Efficiency_Framework\Models\"/>
    </mc:Choice>
  </mc:AlternateContent>
  <xr:revisionPtr revIDLastSave="0" documentId="13_ncr:1_{332C7E91-C3BD-41AC-B57F-51256E30CA92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definedNames>
    <definedName name="solver_adj" localSheetId="0" hidden="1">Data!$D$20:$I$20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Data!$C$36</definedName>
    <definedName name="solver_lhs10" localSheetId="0" hidden="1">Data!$E$39</definedName>
    <definedName name="solver_lhs100" localSheetId="0" hidden="1">Data!$E$39</definedName>
    <definedName name="solver_lhs101" localSheetId="0" hidden="1">Data!$F$39</definedName>
    <definedName name="solver_lhs102" localSheetId="0" hidden="1">Data!$F$39</definedName>
    <definedName name="solver_lhs103" localSheetId="0" hidden="1">Data!$G$39</definedName>
    <definedName name="solver_lhs104" localSheetId="0" hidden="1">Data!$G$39</definedName>
    <definedName name="solver_lhs105" localSheetId="0" hidden="1">Data!$H$39</definedName>
    <definedName name="solver_lhs106" localSheetId="0" hidden="1">Data!$H$39</definedName>
    <definedName name="solver_lhs107" localSheetId="0" hidden="1">Data!$I$39</definedName>
    <definedName name="solver_lhs108" localSheetId="0" hidden="1">Data!$I$39</definedName>
    <definedName name="solver_lhs11" localSheetId="0" hidden="1">Data!$E$39</definedName>
    <definedName name="solver_lhs12" localSheetId="0" hidden="1">Data!$F$20</definedName>
    <definedName name="solver_lhs13" localSheetId="0" hidden="1">Data!$F$20</definedName>
    <definedName name="solver_lhs14" localSheetId="0" hidden="1">Data!$F$39</definedName>
    <definedName name="solver_lhs15" localSheetId="0" hidden="1">Data!$F$39</definedName>
    <definedName name="solver_lhs16" localSheetId="0" hidden="1">Data!$G$20</definedName>
    <definedName name="solver_lhs17" localSheetId="0" hidden="1">Data!$G$20</definedName>
    <definedName name="solver_lhs18" localSheetId="0" hidden="1">Data!$G$39</definedName>
    <definedName name="solver_lhs19" localSheetId="0" hidden="1">Data!$G$39</definedName>
    <definedName name="solver_lhs2" localSheetId="0" hidden="1">Data!$C$37</definedName>
    <definedName name="solver_lhs20" localSheetId="0" hidden="1">Data!$H$20</definedName>
    <definedName name="solver_lhs21" localSheetId="0" hidden="1">Data!$H$20</definedName>
    <definedName name="solver_lhs22" localSheetId="0" hidden="1">Data!$H$39</definedName>
    <definedName name="solver_lhs23" localSheetId="0" hidden="1">Data!$H$39</definedName>
    <definedName name="solver_lhs24" localSheetId="0" hidden="1">Data!$I$20</definedName>
    <definedName name="solver_lhs25" localSheetId="0" hidden="1">Data!$I$20</definedName>
    <definedName name="solver_lhs26" localSheetId="0" hidden="1">Data!$I$39</definedName>
    <definedName name="solver_lhs27" localSheetId="0" hidden="1">Data!$I$39</definedName>
    <definedName name="solver_lhs28" localSheetId="0" hidden="1">Data!$C$36</definedName>
    <definedName name="solver_lhs29" localSheetId="0" hidden="1">Data!$C$37</definedName>
    <definedName name="solver_lhs3" localSheetId="0" hidden="1">Data!$C$38</definedName>
    <definedName name="solver_lhs30" localSheetId="0" hidden="1">Data!$C$38</definedName>
    <definedName name="solver_lhs31" localSheetId="0" hidden="1">Data!$D$20</definedName>
    <definedName name="solver_lhs32" localSheetId="0" hidden="1">Data!$D$20</definedName>
    <definedName name="solver_lhs33" localSheetId="0" hidden="1">Data!$E$20</definedName>
    <definedName name="solver_lhs34" localSheetId="0" hidden="1">Data!$E$20</definedName>
    <definedName name="solver_lhs35" localSheetId="0" hidden="1">Data!$F$20</definedName>
    <definedName name="solver_lhs36" localSheetId="0" hidden="1">Data!$F$20</definedName>
    <definedName name="solver_lhs37" localSheetId="0" hidden="1">Data!$G$20</definedName>
    <definedName name="solver_lhs38" localSheetId="0" hidden="1">Data!$G$20</definedName>
    <definedName name="solver_lhs39" localSheetId="0" hidden="1">Data!$H$20</definedName>
    <definedName name="solver_lhs4" localSheetId="0" hidden="1">Data!$D$20</definedName>
    <definedName name="solver_lhs40" localSheetId="0" hidden="1">Data!$H$20</definedName>
    <definedName name="solver_lhs41" localSheetId="0" hidden="1">Data!$I$20</definedName>
    <definedName name="solver_lhs42" localSheetId="0" hidden="1">Data!$I$20</definedName>
    <definedName name="solver_lhs43" localSheetId="0" hidden="1">Data!$D$39</definedName>
    <definedName name="solver_lhs44" localSheetId="0" hidden="1">Data!$D$39</definedName>
    <definedName name="solver_lhs45" localSheetId="0" hidden="1">Data!$E$39</definedName>
    <definedName name="solver_lhs46" localSheetId="0" hidden="1">Data!$E$39</definedName>
    <definedName name="solver_lhs47" localSheetId="0" hidden="1">Data!$F$39</definedName>
    <definedName name="solver_lhs48" localSheetId="0" hidden="1">Data!$F$39</definedName>
    <definedName name="solver_lhs49" localSheetId="0" hidden="1">Data!$G$39</definedName>
    <definedName name="solver_lhs5" localSheetId="0" hidden="1">Data!$D$20</definedName>
    <definedName name="solver_lhs50" localSheetId="0" hidden="1">Data!$G$39</definedName>
    <definedName name="solver_lhs51" localSheetId="0" hidden="1">Data!$H$39</definedName>
    <definedName name="solver_lhs52" localSheetId="0" hidden="1">Data!$H$39</definedName>
    <definedName name="solver_lhs53" localSheetId="0" hidden="1">Data!$I$39</definedName>
    <definedName name="solver_lhs54" localSheetId="0" hidden="1">Data!$I$39</definedName>
    <definedName name="solver_lhs55" localSheetId="0" hidden="1">Data!$C$36</definedName>
    <definedName name="solver_lhs56" localSheetId="0" hidden="1">Data!$C$37</definedName>
    <definedName name="solver_lhs57" localSheetId="0" hidden="1">Data!$C$38</definedName>
    <definedName name="solver_lhs58" localSheetId="0" hidden="1">Data!$D$20</definedName>
    <definedName name="solver_lhs59" localSheetId="0" hidden="1">Data!$D$20</definedName>
    <definedName name="solver_lhs6" localSheetId="0" hidden="1">Data!$D$39</definedName>
    <definedName name="solver_lhs60" localSheetId="0" hidden="1">Data!$E$20</definedName>
    <definedName name="solver_lhs61" localSheetId="0" hidden="1">Data!$E$20</definedName>
    <definedName name="solver_lhs62" localSheetId="0" hidden="1">Data!$F$20</definedName>
    <definedName name="solver_lhs63" localSheetId="0" hidden="1">Data!$F$20</definedName>
    <definedName name="solver_lhs64" localSheetId="0" hidden="1">Data!$G$20</definedName>
    <definedName name="solver_lhs65" localSheetId="0" hidden="1">Data!$G$20</definedName>
    <definedName name="solver_lhs66" localSheetId="0" hidden="1">Data!$H$20</definedName>
    <definedName name="solver_lhs67" localSheetId="0" hidden="1">Data!$H$20</definedName>
    <definedName name="solver_lhs68" localSheetId="0" hidden="1">Data!$I$20</definedName>
    <definedName name="solver_lhs69" localSheetId="0" hidden="1">Data!$I$20</definedName>
    <definedName name="solver_lhs7" localSheetId="0" hidden="1">Data!$D$39</definedName>
    <definedName name="solver_lhs70" localSheetId="0" hidden="1">Data!$D$39</definedName>
    <definedName name="solver_lhs71" localSheetId="0" hidden="1">Data!$D$39</definedName>
    <definedName name="solver_lhs72" localSheetId="0" hidden="1">Data!$E$39</definedName>
    <definedName name="solver_lhs73" localSheetId="0" hidden="1">Data!$E$39</definedName>
    <definedName name="solver_lhs74" localSheetId="0" hidden="1">Data!$F$39</definedName>
    <definedName name="solver_lhs75" localSheetId="0" hidden="1">Data!$F$39</definedName>
    <definedName name="solver_lhs76" localSheetId="0" hidden="1">Data!$G$39</definedName>
    <definedName name="solver_lhs77" localSheetId="0" hidden="1">Data!$G$39</definedName>
    <definedName name="solver_lhs78" localSheetId="0" hidden="1">Data!$H$39</definedName>
    <definedName name="solver_lhs79" localSheetId="0" hidden="1">Data!$H$39</definedName>
    <definedName name="solver_lhs8" localSheetId="0" hidden="1">Data!$E$20</definedName>
    <definedName name="solver_lhs80" localSheetId="0" hidden="1">Data!$I$39</definedName>
    <definedName name="solver_lhs81" localSheetId="0" hidden="1">Data!$I$39</definedName>
    <definedName name="solver_lhs82" localSheetId="0" hidden="1">Data!$C$36</definedName>
    <definedName name="solver_lhs83" localSheetId="0" hidden="1">Data!$C$37</definedName>
    <definedName name="solver_lhs84" localSheetId="0" hidden="1">Data!$C$38</definedName>
    <definedName name="solver_lhs85" localSheetId="0" hidden="1">Data!$D$20</definedName>
    <definedName name="solver_lhs86" localSheetId="0" hidden="1">Data!$D$20</definedName>
    <definedName name="solver_lhs87" localSheetId="0" hidden="1">Data!$E$20</definedName>
    <definedName name="solver_lhs88" localSheetId="0" hidden="1">Data!$E$20</definedName>
    <definedName name="solver_lhs89" localSheetId="0" hidden="1">Data!$F$20</definedName>
    <definedName name="solver_lhs9" localSheetId="0" hidden="1">Data!$E$20</definedName>
    <definedName name="solver_lhs90" localSheetId="0" hidden="1">Data!$F$20</definedName>
    <definedName name="solver_lhs91" localSheetId="0" hidden="1">Data!$G$20</definedName>
    <definedName name="solver_lhs92" localSheetId="0" hidden="1">Data!$G$20</definedName>
    <definedName name="solver_lhs93" localSheetId="0" hidden="1">Data!$H$20</definedName>
    <definedName name="solver_lhs94" localSheetId="0" hidden="1">Data!$H$20</definedName>
    <definedName name="solver_lhs95" localSheetId="0" hidden="1">Data!$I$20</definedName>
    <definedName name="solver_lhs96" localSheetId="0" hidden="1">Data!$I$20</definedName>
    <definedName name="solver_lhs97" localSheetId="0" hidden="1">Data!$D$39</definedName>
    <definedName name="solver_lhs98" localSheetId="0" hidden="1">Data!$D$39</definedName>
    <definedName name="solver_lhs99" localSheetId="0" hidden="1">Data!$E$39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108</definedName>
    <definedName name="solver_nwt" localSheetId="0" hidden="1">1</definedName>
    <definedName name="solver_opt" localSheetId="0" hidden="1">Data!$C$33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1</definedName>
    <definedName name="solver_rel100" localSheetId="0" hidden="1">1</definedName>
    <definedName name="solver_rel101" localSheetId="0" hidden="1">3</definedName>
    <definedName name="solver_rel102" localSheetId="0" hidden="1">1</definedName>
    <definedName name="solver_rel103" localSheetId="0" hidden="1">3</definedName>
    <definedName name="solver_rel104" localSheetId="0" hidden="1">1</definedName>
    <definedName name="solver_rel105" localSheetId="0" hidden="1">3</definedName>
    <definedName name="solver_rel106" localSheetId="0" hidden="1">1</definedName>
    <definedName name="solver_rel107" localSheetId="0" hidden="1">3</definedName>
    <definedName name="solver_rel108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18" localSheetId="0" hidden="1">1</definedName>
    <definedName name="solver_rel19" localSheetId="0" hidden="1">3</definedName>
    <definedName name="solver_rel2" localSheetId="0" hidden="1">1</definedName>
    <definedName name="solver_rel20" localSheetId="0" hidden="1">1</definedName>
    <definedName name="solver_rel21" localSheetId="0" hidden="1">3</definedName>
    <definedName name="solver_rel22" localSheetId="0" hidden="1">1</definedName>
    <definedName name="solver_rel23" localSheetId="0" hidden="1">3</definedName>
    <definedName name="solver_rel24" localSheetId="0" hidden="1">1</definedName>
    <definedName name="solver_rel25" localSheetId="0" hidden="1">3</definedName>
    <definedName name="solver_rel26" localSheetId="0" hidden="1">1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3</definedName>
    <definedName name="solver_rel31" localSheetId="0" hidden="1">1</definedName>
    <definedName name="solver_rel32" localSheetId="0" hidden="1">3</definedName>
    <definedName name="solver_rel33" localSheetId="0" hidden="1">1</definedName>
    <definedName name="solver_rel34" localSheetId="0" hidden="1">3</definedName>
    <definedName name="solver_rel35" localSheetId="0" hidden="1">1</definedName>
    <definedName name="solver_rel36" localSheetId="0" hidden="1">3</definedName>
    <definedName name="solver_rel37" localSheetId="0" hidden="1">1</definedName>
    <definedName name="solver_rel38" localSheetId="0" hidden="1">3</definedName>
    <definedName name="solver_rel39" localSheetId="0" hidden="1">1</definedName>
    <definedName name="solver_rel4" localSheetId="0" hidden="1">1</definedName>
    <definedName name="solver_rel40" localSheetId="0" hidden="1">3</definedName>
    <definedName name="solver_rel41" localSheetId="0" hidden="1">1</definedName>
    <definedName name="solver_rel42" localSheetId="0" hidden="1">3</definedName>
    <definedName name="solver_rel43" localSheetId="0" hidden="1">3</definedName>
    <definedName name="solver_rel44" localSheetId="0" hidden="1">1</definedName>
    <definedName name="solver_rel45" localSheetId="0" hidden="1">3</definedName>
    <definedName name="solver_rel46" localSheetId="0" hidden="1">1</definedName>
    <definedName name="solver_rel47" localSheetId="0" hidden="1">3</definedName>
    <definedName name="solver_rel48" localSheetId="0" hidden="1">1</definedName>
    <definedName name="solver_rel49" localSheetId="0" hidden="1">3</definedName>
    <definedName name="solver_rel5" localSheetId="0" hidden="1">3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57" localSheetId="0" hidden="1">3</definedName>
    <definedName name="solver_rel58" localSheetId="0" hidden="1">1</definedName>
    <definedName name="solver_rel59" localSheetId="0" hidden="1">3</definedName>
    <definedName name="solver_rel6" localSheetId="0" hidden="1">1</definedName>
    <definedName name="solver_rel60" localSheetId="0" hidden="1">1</definedName>
    <definedName name="solver_rel61" localSheetId="0" hidden="1">3</definedName>
    <definedName name="solver_rel62" localSheetId="0" hidden="1">1</definedName>
    <definedName name="solver_rel63" localSheetId="0" hidden="1">3</definedName>
    <definedName name="solver_rel64" localSheetId="0" hidden="1">1</definedName>
    <definedName name="solver_rel65" localSheetId="0" hidden="1">3</definedName>
    <definedName name="solver_rel66" localSheetId="0" hidden="1">1</definedName>
    <definedName name="solver_rel67" localSheetId="0" hidden="1">3</definedName>
    <definedName name="solver_rel68" localSheetId="0" hidden="1">1</definedName>
    <definedName name="solver_rel69" localSheetId="0" hidden="1">3</definedName>
    <definedName name="solver_rel7" localSheetId="0" hidden="1">3</definedName>
    <definedName name="solver_rel70" localSheetId="0" hidden="1">3</definedName>
    <definedName name="solver_rel71" localSheetId="0" hidden="1">1</definedName>
    <definedName name="solver_rel72" localSheetId="0" hidden="1">3</definedName>
    <definedName name="solver_rel73" localSheetId="0" hidden="1">1</definedName>
    <definedName name="solver_rel74" localSheetId="0" hidden="1">3</definedName>
    <definedName name="solver_rel75" localSheetId="0" hidden="1">1</definedName>
    <definedName name="solver_rel76" localSheetId="0" hidden="1">3</definedName>
    <definedName name="solver_rel77" localSheetId="0" hidden="1">1</definedName>
    <definedName name="solver_rel78" localSheetId="0" hidden="1">3</definedName>
    <definedName name="solver_rel79" localSheetId="0" hidden="1">1</definedName>
    <definedName name="solver_rel8" localSheetId="0" hidden="1">1</definedName>
    <definedName name="solver_rel80" localSheetId="0" hidden="1">3</definedName>
    <definedName name="solver_rel81" localSheetId="0" hidden="1">1</definedName>
    <definedName name="solver_rel82" localSheetId="0" hidden="1">1</definedName>
    <definedName name="solver_rel83" localSheetId="0" hidden="1">1</definedName>
    <definedName name="solver_rel84" localSheetId="0" hidden="1">3</definedName>
    <definedName name="solver_rel85" localSheetId="0" hidden="1">1</definedName>
    <definedName name="solver_rel86" localSheetId="0" hidden="1">3</definedName>
    <definedName name="solver_rel87" localSheetId="0" hidden="1">1</definedName>
    <definedName name="solver_rel88" localSheetId="0" hidden="1">3</definedName>
    <definedName name="solver_rel89" localSheetId="0" hidden="1">1</definedName>
    <definedName name="solver_rel9" localSheetId="0" hidden="1">3</definedName>
    <definedName name="solver_rel90" localSheetId="0" hidden="1">3</definedName>
    <definedName name="solver_rel91" localSheetId="0" hidden="1">1</definedName>
    <definedName name="solver_rel92" localSheetId="0" hidden="1">3</definedName>
    <definedName name="solver_rel93" localSheetId="0" hidden="1">1</definedName>
    <definedName name="solver_rel94" localSheetId="0" hidden="1">3</definedName>
    <definedName name="solver_rel95" localSheetId="0" hidden="1">1</definedName>
    <definedName name="solver_rel96" localSheetId="0" hidden="1">3</definedName>
    <definedName name="solver_rel97" localSheetId="0" hidden="1">3</definedName>
    <definedName name="solver_rel98" localSheetId="0" hidden="1">1</definedName>
    <definedName name="solver_rel99" localSheetId="0" hidden="1">3</definedName>
    <definedName name="solver_rhs1" localSheetId="0" hidden="1">Data!$D$27</definedName>
    <definedName name="solver_rhs10" localSheetId="0" hidden="1">Data!$E$13</definedName>
    <definedName name="solver_rhs100" localSheetId="0" hidden="1">Data!$E$13</definedName>
    <definedName name="solver_rhs101" localSheetId="0" hidden="1">Data!$F$12</definedName>
    <definedName name="solver_rhs102" localSheetId="0" hidden="1">Data!$F$13</definedName>
    <definedName name="solver_rhs103" localSheetId="0" hidden="1">Data!$G$12</definedName>
    <definedName name="solver_rhs104" localSheetId="0" hidden="1">Data!$G$13</definedName>
    <definedName name="solver_rhs105" localSheetId="0" hidden="1">Data!$H$12</definedName>
    <definedName name="solver_rhs106" localSheetId="0" hidden="1">Data!$H$13</definedName>
    <definedName name="solver_rhs107" localSheetId="0" hidden="1">Data!$I$12</definedName>
    <definedName name="solver_rhs108" localSheetId="0" hidden="1">Data!$I$13</definedName>
    <definedName name="solver_rhs11" localSheetId="0" hidden="1">Data!$E$12</definedName>
    <definedName name="solver_rhs12" localSheetId="0" hidden="1">Data!$F$7</definedName>
    <definedName name="solver_rhs13" localSheetId="0" hidden="1">Data!$F$6</definedName>
    <definedName name="solver_rhs14" localSheetId="0" hidden="1">Data!$F$13</definedName>
    <definedName name="solver_rhs15" localSheetId="0" hidden="1">Data!$F$12</definedName>
    <definedName name="solver_rhs16" localSheetId="0" hidden="1">Data!$G$7</definedName>
    <definedName name="solver_rhs17" localSheetId="0" hidden="1">Data!$G$6</definedName>
    <definedName name="solver_rhs18" localSheetId="0" hidden="1">Data!$G$13</definedName>
    <definedName name="solver_rhs19" localSheetId="0" hidden="1">Data!$G$12</definedName>
    <definedName name="solver_rhs2" localSheetId="0" hidden="1">Data!$D$28</definedName>
    <definedName name="solver_rhs20" localSheetId="0" hidden="1">Data!$H$7</definedName>
    <definedName name="solver_rhs21" localSheetId="0" hidden="1">Data!$H$6</definedName>
    <definedName name="solver_rhs22" localSheetId="0" hidden="1">Data!$H$13</definedName>
    <definedName name="solver_rhs23" localSheetId="0" hidden="1">Data!$H$12</definedName>
    <definedName name="solver_rhs24" localSheetId="0" hidden="1">Data!$I$7</definedName>
    <definedName name="solver_rhs25" localSheetId="0" hidden="1">Data!$I$6</definedName>
    <definedName name="solver_rhs26" localSheetId="0" hidden="1">Data!$I$13</definedName>
    <definedName name="solver_rhs27" localSheetId="0" hidden="1">Data!$I$12</definedName>
    <definedName name="solver_rhs28" localSheetId="0" hidden="1">Data!$D$27</definedName>
    <definedName name="solver_rhs29" localSheetId="0" hidden="1">Data!$D$28</definedName>
    <definedName name="solver_rhs3" localSheetId="0" hidden="1">Data!$D$29</definedName>
    <definedName name="solver_rhs30" localSheetId="0" hidden="1">Data!$D$29</definedName>
    <definedName name="solver_rhs31" localSheetId="0" hidden="1">Data!$D$7</definedName>
    <definedName name="solver_rhs32" localSheetId="0" hidden="1">Data!$D$6</definedName>
    <definedName name="solver_rhs33" localSheetId="0" hidden="1">Data!$E$7</definedName>
    <definedName name="solver_rhs34" localSheetId="0" hidden="1">Data!$E$6</definedName>
    <definedName name="solver_rhs35" localSheetId="0" hidden="1">Data!$F$7</definedName>
    <definedName name="solver_rhs36" localSheetId="0" hidden="1">Data!$F$6</definedName>
    <definedName name="solver_rhs37" localSheetId="0" hidden="1">Data!$G$7</definedName>
    <definedName name="solver_rhs38" localSheetId="0" hidden="1">Data!$G$6</definedName>
    <definedName name="solver_rhs39" localSheetId="0" hidden="1">Data!$H$7</definedName>
    <definedName name="solver_rhs4" localSheetId="0" hidden="1">Data!$D$7</definedName>
    <definedName name="solver_rhs40" localSheetId="0" hidden="1">Data!$H$6</definedName>
    <definedName name="solver_rhs41" localSheetId="0" hidden="1">Data!$I$7</definedName>
    <definedName name="solver_rhs42" localSheetId="0" hidden="1">Data!$I$6</definedName>
    <definedName name="solver_rhs43" localSheetId="0" hidden="1">Data!$D$12</definedName>
    <definedName name="solver_rhs44" localSheetId="0" hidden="1">Data!$D$13</definedName>
    <definedName name="solver_rhs45" localSheetId="0" hidden="1">Data!$E$12</definedName>
    <definedName name="solver_rhs46" localSheetId="0" hidden="1">Data!$E$13</definedName>
    <definedName name="solver_rhs47" localSheetId="0" hidden="1">Data!$F$12</definedName>
    <definedName name="solver_rhs48" localSheetId="0" hidden="1">Data!$F$13</definedName>
    <definedName name="solver_rhs49" localSheetId="0" hidden="1">Data!$G$12</definedName>
    <definedName name="solver_rhs5" localSheetId="0" hidden="1">Data!$D$6</definedName>
    <definedName name="solver_rhs50" localSheetId="0" hidden="1">Data!$G$13</definedName>
    <definedName name="solver_rhs51" localSheetId="0" hidden="1">Data!$H$12</definedName>
    <definedName name="solver_rhs52" localSheetId="0" hidden="1">Data!$H$13</definedName>
    <definedName name="solver_rhs53" localSheetId="0" hidden="1">Data!$I$12</definedName>
    <definedName name="solver_rhs54" localSheetId="0" hidden="1">Data!$I$13</definedName>
    <definedName name="solver_rhs55" localSheetId="0" hidden="1">Data!$D$27</definedName>
    <definedName name="solver_rhs56" localSheetId="0" hidden="1">Data!$D$28</definedName>
    <definedName name="solver_rhs57" localSheetId="0" hidden="1">Data!$D$29</definedName>
    <definedName name="solver_rhs58" localSheetId="0" hidden="1">Data!$D$7</definedName>
    <definedName name="solver_rhs59" localSheetId="0" hidden="1">Data!$D$6</definedName>
    <definedName name="solver_rhs6" localSheetId="0" hidden="1">Data!$D$13</definedName>
    <definedName name="solver_rhs60" localSheetId="0" hidden="1">Data!$E$7</definedName>
    <definedName name="solver_rhs61" localSheetId="0" hidden="1">Data!$E$6</definedName>
    <definedName name="solver_rhs62" localSheetId="0" hidden="1">Data!$F$7</definedName>
    <definedName name="solver_rhs63" localSheetId="0" hidden="1">Data!$F$6</definedName>
    <definedName name="solver_rhs64" localSheetId="0" hidden="1">Data!$G$7</definedName>
    <definedName name="solver_rhs65" localSheetId="0" hidden="1">Data!$G$6</definedName>
    <definedName name="solver_rhs66" localSheetId="0" hidden="1">Data!$H$7</definedName>
    <definedName name="solver_rhs67" localSheetId="0" hidden="1">Data!$H$6</definedName>
    <definedName name="solver_rhs68" localSheetId="0" hidden="1">Data!$I$7</definedName>
    <definedName name="solver_rhs69" localSheetId="0" hidden="1">Data!$I$6</definedName>
    <definedName name="solver_rhs7" localSheetId="0" hidden="1">Data!$D$12</definedName>
    <definedName name="solver_rhs70" localSheetId="0" hidden="1">Data!$D$12</definedName>
    <definedName name="solver_rhs71" localSheetId="0" hidden="1">Data!$D$13</definedName>
    <definedName name="solver_rhs72" localSheetId="0" hidden="1">Data!$E$12</definedName>
    <definedName name="solver_rhs73" localSheetId="0" hidden="1">Data!$E$13</definedName>
    <definedName name="solver_rhs74" localSheetId="0" hidden="1">Data!$F$12</definedName>
    <definedName name="solver_rhs75" localSheetId="0" hidden="1">Data!$F$13</definedName>
    <definedName name="solver_rhs76" localSheetId="0" hidden="1">Data!$G$12</definedName>
    <definedName name="solver_rhs77" localSheetId="0" hidden="1">Data!$G$13</definedName>
    <definedName name="solver_rhs78" localSheetId="0" hidden="1">Data!$H$12</definedName>
    <definedName name="solver_rhs79" localSheetId="0" hidden="1">Data!$H$13</definedName>
    <definedName name="solver_rhs8" localSheetId="0" hidden="1">Data!$E$7</definedName>
    <definedName name="solver_rhs80" localSheetId="0" hidden="1">Data!$I$12</definedName>
    <definedName name="solver_rhs81" localSheetId="0" hidden="1">Data!$I$13</definedName>
    <definedName name="solver_rhs82" localSheetId="0" hidden="1">Data!$D$27</definedName>
    <definedName name="solver_rhs83" localSheetId="0" hidden="1">Data!$D$28</definedName>
    <definedName name="solver_rhs84" localSheetId="0" hidden="1">Data!$D$29</definedName>
    <definedName name="solver_rhs85" localSheetId="0" hidden="1">Data!$D$7</definedName>
    <definedName name="solver_rhs86" localSheetId="0" hidden="1">Data!$D$6</definedName>
    <definedName name="solver_rhs87" localSheetId="0" hidden="1">Data!$E$7</definedName>
    <definedName name="solver_rhs88" localSheetId="0" hidden="1">Data!$E$6</definedName>
    <definedName name="solver_rhs89" localSheetId="0" hidden="1">Data!$F$7</definedName>
    <definedName name="solver_rhs9" localSheetId="0" hidden="1">Data!$E$6</definedName>
    <definedName name="solver_rhs90" localSheetId="0" hidden="1">Data!$F$6</definedName>
    <definedName name="solver_rhs91" localSheetId="0" hidden="1">Data!$G$7</definedName>
    <definedName name="solver_rhs92" localSheetId="0" hidden="1">Data!$G$6</definedName>
    <definedName name="solver_rhs93" localSheetId="0" hidden="1">Data!$H$7</definedName>
    <definedName name="solver_rhs94" localSheetId="0" hidden="1">Data!$H$6</definedName>
    <definedName name="solver_rhs95" localSheetId="0" hidden="1">Data!$I$7</definedName>
    <definedName name="solver_rhs96" localSheetId="0" hidden="1">Data!$I$6</definedName>
    <definedName name="solver_rhs97" localSheetId="0" hidden="1">Data!$D$12</definedName>
    <definedName name="solver_rhs98" localSheetId="0" hidden="1">Data!$D$13</definedName>
    <definedName name="solver_rhs99" localSheetId="0" hidden="1">Data!$E$12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" i="1" l="1"/>
  <c r="D33" i="1"/>
  <c r="F33" i="1" l="1"/>
  <c r="E39" i="1" l="1"/>
  <c r="F39" i="1"/>
  <c r="G39" i="1"/>
  <c r="H39" i="1"/>
  <c r="I39" i="1"/>
  <c r="D39" i="1"/>
  <c r="E38" i="1"/>
  <c r="F38" i="1"/>
  <c r="G38" i="1"/>
  <c r="H38" i="1"/>
  <c r="I38" i="1"/>
  <c r="D38" i="1"/>
  <c r="E37" i="1"/>
  <c r="F37" i="1"/>
  <c r="G37" i="1"/>
  <c r="H37" i="1"/>
  <c r="I37" i="1"/>
  <c r="D37" i="1"/>
  <c r="E33" i="1"/>
  <c r="G33" i="1"/>
  <c r="H33" i="1"/>
  <c r="I33" i="1"/>
  <c r="C33" i="1" l="1"/>
  <c r="C37" i="1"/>
  <c r="C38" i="1"/>
</calcChain>
</file>

<file path=xl/sharedStrings.xml><?xml version="1.0" encoding="utf-8"?>
<sst xmlns="http://schemas.openxmlformats.org/spreadsheetml/2006/main" count="32" uniqueCount="32">
  <si>
    <t>Технологический параметр, ед. изм.</t>
  </si>
  <si>
    <t>Доменные печи</t>
  </si>
  <si>
    <t>Расход кокса в базовом периоде, т/час</t>
  </si>
  <si>
    <t>Производительность по чугуну в базовом периоде, т /ч</t>
  </si>
  <si>
    <t>Коэффициенты</t>
  </si>
  <si>
    <t>Изменение производства чугуна при увеличении расхода кокса, т чуг/(кг кокса)</t>
  </si>
  <si>
    <t>Наименование показателя, ед. изм.</t>
  </si>
  <si>
    <t>Величина</t>
  </si>
  <si>
    <t>Стоимость кокса, руб/(кг кокса)</t>
  </si>
  <si>
    <t>Запасы кокса по цеху, т/ч</t>
  </si>
  <si>
    <t>Эффективность использования газа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</si>
  <si>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</si>
  <si>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</si>
  <si>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</si>
  <si>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</si>
  <si>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Содержание S в чугуне в базовом периоде, %</t>
  </si>
  <si>
    <t>Минимально допустимое [S], %</t>
  </si>
  <si>
    <t>Максимально допустимое [S], %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</si>
  <si>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</si>
  <si>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r>
      <t>Изменение [S]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</si>
  <si>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[S] при увеличении расхода кокса на 1 кг/ч</t>
  </si>
  <si>
    <t>Изменение [S] при увеличении производительности печи на 1 т чуг/ч</t>
  </si>
  <si>
    <r>
      <t>Стоимость природного газа, руб/(м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</si>
  <si>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</si>
  <si>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Требуемое производство чугуна в цехе, т/ ч</t>
  </si>
  <si>
    <t>Целевая функция</t>
  </si>
  <si>
    <t>Ограничения</t>
  </si>
  <si>
    <t>Расход природного газа, м3/ч</t>
  </si>
  <si>
    <t>по расходу природного газа в целом</t>
  </si>
  <si>
    <t>по расходу кокса в целом</t>
  </si>
  <si>
    <t>по объему производства чугуна в целом</t>
  </si>
  <si>
    <t>по содержанию серы в чугуне для каждой печи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</si>
</sst>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C1:J39"/>
  <sheetViews>
    <sheetView tabSelected="1" topLeftCell="B13" workbookViewId="0">
      <selection activeCell="E22" sqref="E22"/>
    </sheetView>
  </sheetViews>
  <sheetFormatPr defaultRowHeight="15" x14ac:dyDescent="0.25"/>
  <cols>
    <col min="3" max="3" width="104.85546875" bestFit="1" customWidth="1"/>
    <col min="4" max="4" width="23.7109375" bestFit="1" customWidth="1"/>
    <col min="5" max="6" width="15.140625" bestFit="1" customWidth="1"/>
    <col min="7" max="7" width="16.5703125" bestFit="1" customWidth="1"/>
    <col min="8" max="9" width="15.140625" bestFit="1" customWidth="1"/>
    <col min="10" max="10" width="45.28515625" bestFit="1" customWidth="1"/>
  </cols>
  <sheetData>
    <row r="1" spans="3:9" x14ac:dyDescent="0.25">
      <c r="C1" s="8" t="s">
        <v>10</v>
      </c>
      <c r="D1" s="9"/>
      <c r="E1" s="9"/>
      <c r="F1" s="9"/>
      <c r="G1" s="9"/>
      <c r="H1" s="9"/>
      <c r="I1" s="9"/>
    </row>
    <row r="2" spans="3:9" ht="15.75" thickBot="1" x14ac:dyDescent="0.3">
      <c r="C2" s="10"/>
      <c r="D2" s="10"/>
      <c r="E2" s="10"/>
      <c r="F2" s="10"/>
      <c r="G2" s="10"/>
      <c r="H2" s="10"/>
      <c r="I2" s="10"/>
    </row>
    <row r="3" spans="3:9" ht="19.5" thickBot="1" x14ac:dyDescent="0.3">
      <c r="C3" s="1" t="s">
        <v>0</v>
      </c>
      <c r="D3" s="11" t="s">
        <v>1</v>
      </c>
      <c r="E3" s="12"/>
      <c r="F3" s="12"/>
      <c r="G3" s="12"/>
      <c r="H3" s="12"/>
      <c r="I3" s="13"/>
    </row>
    <row r="4" spans="3:9" ht="19.5" thickBot="1" x14ac:dyDescent="0.3">
      <c r="C4" s="1"/>
      <c r="D4" s="1">
        <v>1</v>
      </c>
      <c r="E4" s="1">
        <v>2</v>
      </c>
      <c r="F4" s="1">
        <v>3</v>
      </c>
      <c r="G4" s="1">
        <v>4</v>
      </c>
      <c r="H4" s="1">
        <v>5</v>
      </c>
      <c r="I4" s="1">
        <v>6</v>
      </c>
    </row>
    <row r="5" spans="3:9" ht="19.5" thickBot="1" x14ac:dyDescent="0.3">
      <c r="C5" s="1" t="s">
        <v>11</v>
      </c>
      <c r="D5" s="1">
        <v>15000</v>
      </c>
      <c r="E5" s="1">
        <v>17000</v>
      </c>
      <c r="F5" s="1">
        <v>11000</v>
      </c>
      <c r="G5" s="1">
        <v>13000</v>
      </c>
      <c r="H5" s="1">
        <v>12000</v>
      </c>
      <c r="I5" s="1">
        <v>15000</v>
      </c>
    </row>
    <row r="6" spans="3:9" ht="19.5" thickBot="1" x14ac:dyDescent="0.3">
      <c r="C6" s="1" t="s">
        <v>12</v>
      </c>
      <c r="D6" s="1">
        <v>10000</v>
      </c>
      <c r="E6" s="1">
        <v>10000</v>
      </c>
      <c r="F6" s="1">
        <v>10000</v>
      </c>
      <c r="G6" s="1">
        <v>10000</v>
      </c>
      <c r="H6" s="1">
        <v>10000</v>
      </c>
      <c r="I6" s="1">
        <v>10000</v>
      </c>
    </row>
    <row r="7" spans="3:9" ht="19.5" thickBot="1" x14ac:dyDescent="0.3">
      <c r="C7" s="1" t="s">
        <v>13</v>
      </c>
      <c r="D7" s="1">
        <v>20000</v>
      </c>
      <c r="E7" s="1">
        <v>20000</v>
      </c>
      <c r="F7" s="1">
        <v>20000</v>
      </c>
      <c r="G7" s="1">
        <v>20000</v>
      </c>
      <c r="H7" s="1">
        <v>20000</v>
      </c>
      <c r="I7" s="1">
        <v>20000</v>
      </c>
    </row>
    <row r="8" spans="3:9" ht="19.5" thickBot="1" x14ac:dyDescent="0.3">
      <c r="C8" s="1" t="s">
        <v>2</v>
      </c>
      <c r="D8" s="1">
        <v>64.25</v>
      </c>
      <c r="E8" s="1">
        <v>66.760000000000005</v>
      </c>
      <c r="F8" s="1">
        <v>56.08</v>
      </c>
      <c r="G8" s="1">
        <v>49.78</v>
      </c>
      <c r="H8" s="1">
        <v>62.92</v>
      </c>
      <c r="I8" s="1">
        <v>60.02</v>
      </c>
    </row>
    <row r="9" spans="3:9" ht="19.5" thickBot="1" x14ac:dyDescent="0.3">
      <c r="C9" s="1" t="s">
        <v>14</v>
      </c>
      <c r="D9" s="1">
        <v>0.59</v>
      </c>
      <c r="E9" s="1">
        <v>0.53</v>
      </c>
      <c r="F9" s="1">
        <v>0.85</v>
      </c>
      <c r="G9" s="1">
        <v>0.59</v>
      </c>
      <c r="H9" s="1">
        <v>0.75</v>
      </c>
      <c r="I9" s="1">
        <v>0.79</v>
      </c>
    </row>
    <row r="10" spans="3:9" ht="19.5" thickBot="1" x14ac:dyDescent="0.3">
      <c r="C10" s="1" t="s">
        <v>3</v>
      </c>
      <c r="D10" s="1">
        <v>146.4</v>
      </c>
      <c r="E10" s="1">
        <v>136.4</v>
      </c>
      <c r="F10" s="1">
        <v>134.30000000000001</v>
      </c>
      <c r="G10" s="1">
        <v>122.3</v>
      </c>
      <c r="H10" s="1">
        <v>138.19999999999999</v>
      </c>
      <c r="I10" s="1">
        <v>138.80000000000001</v>
      </c>
    </row>
    <row r="11" spans="3:9" ht="19.5" thickBot="1" x14ac:dyDescent="0.3">
      <c r="C11" s="1" t="s">
        <v>15</v>
      </c>
      <c r="D11" s="1">
        <v>1.4999999999999999E-2</v>
      </c>
      <c r="E11" s="1">
        <v>1.4E-2</v>
      </c>
      <c r="F11" s="1">
        <v>1.2999999999999999E-2</v>
      </c>
      <c r="G11" s="1">
        <v>1.4E-2</v>
      </c>
      <c r="H11" s="1">
        <v>1.7000000000000001E-2</v>
      </c>
      <c r="I11" s="1">
        <v>1.6E-2</v>
      </c>
    </row>
    <row r="12" spans="3:9" ht="19.5" thickBot="1" x14ac:dyDescent="0.3">
      <c r="C12" s="1" t="s">
        <v>16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</row>
    <row r="13" spans="3:9" ht="19.5" thickBot="1" x14ac:dyDescent="0.3">
      <c r="C13" s="1" t="s">
        <v>17</v>
      </c>
      <c r="D13" s="1">
        <v>2.5000000000000001E-2</v>
      </c>
      <c r="E13" s="1">
        <v>2.5000000000000001E-2</v>
      </c>
      <c r="F13" s="1">
        <v>2.5000000000000001E-2</v>
      </c>
      <c r="G13" s="1">
        <v>2.5000000000000001E-2</v>
      </c>
      <c r="H13" s="1">
        <v>2.5000000000000001E-2</v>
      </c>
      <c r="I13" s="1">
        <v>2.5000000000000001E-2</v>
      </c>
    </row>
    <row r="14" spans="3:9" ht="19.5" thickBot="1" x14ac:dyDescent="0.3">
      <c r="C14" s="1" t="s">
        <v>4</v>
      </c>
      <c r="D14" s="1"/>
      <c r="E14" s="1"/>
      <c r="F14" s="1"/>
      <c r="G14" s="1"/>
      <c r="H14" s="1"/>
      <c r="I14" s="1"/>
    </row>
    <row r="15" spans="3:9" ht="19.5" thickBot="1" x14ac:dyDescent="0.3">
      <c r="C15" s="1" t="s">
        <v>18</v>
      </c>
      <c r="D15" s="1">
        <v>-7.2950000000000001E-4</v>
      </c>
      <c r="E15" s="1">
        <v>-6.6949999999999996E-4</v>
      </c>
      <c r="F15" s="1">
        <v>0</v>
      </c>
      <c r="G15" s="1">
        <v>-7.2373000000000001E-4</v>
      </c>
      <c r="H15" s="1">
        <v>-7.7240000000000002E-4</v>
      </c>
      <c r="I15" s="1">
        <v>-6.8720000000000001E-4</v>
      </c>
    </row>
    <row r="16" spans="3:9" ht="19.5" thickBot="1" x14ac:dyDescent="0.3">
      <c r="C16" s="1" t="s">
        <v>5</v>
      </c>
      <c r="D16" s="1">
        <v>-2.97E-3</v>
      </c>
      <c r="E16" s="1">
        <v>-2.97E-3</v>
      </c>
      <c r="F16" s="1">
        <v>-2.928E-3</v>
      </c>
      <c r="G16" s="1">
        <v>-2.8969999999999998E-3</v>
      </c>
      <c r="H16" s="1">
        <v>-2.97E-3</v>
      </c>
      <c r="I16" s="1">
        <v>-2.97E-3</v>
      </c>
    </row>
    <row r="17" spans="3:9" ht="19.5" thickBot="1" x14ac:dyDescent="0.3">
      <c r="C17" s="1" t="s">
        <v>19</v>
      </c>
      <c r="D17" s="1">
        <v>-3.4000000000000001E-6</v>
      </c>
      <c r="E17" s="1">
        <v>-3.4000000000000001E-6</v>
      </c>
      <c r="F17" s="1">
        <v>-3.4999999999999999E-6</v>
      </c>
      <c r="G17" s="1">
        <v>-3.3000000000000002E-6</v>
      </c>
      <c r="H17" s="1">
        <v>-3.4000000000000001E-6</v>
      </c>
      <c r="I17" s="1">
        <v>-3.4000000000000001E-6</v>
      </c>
    </row>
    <row r="18" spans="3:9" ht="19.5" thickBot="1" x14ac:dyDescent="0.3">
      <c r="C18" s="1" t="s">
        <v>20</v>
      </c>
      <c r="D18" s="1">
        <v>-3.0000000000000001E-6</v>
      </c>
      <c r="E18" s="1">
        <v>-2.9000000000000002E-6</v>
      </c>
      <c r="F18" s="1">
        <v>-3.1999999999999999E-6</v>
      </c>
      <c r="G18" s="1">
        <v>-2.9000000000000002E-6</v>
      </c>
      <c r="H18" s="1">
        <v>-3.1E-6</v>
      </c>
      <c r="I18" s="1">
        <v>-2.7999999999999999E-6</v>
      </c>
    </row>
    <row r="19" spans="3:9" ht="19.5" thickBot="1" x14ac:dyDescent="0.3">
      <c r="C19" s="1" t="s">
        <v>21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3:9" ht="19.5" thickBot="1" x14ac:dyDescent="0.3">
      <c r="C20" s="4" t="s">
        <v>27</v>
      </c>
      <c r="D20" s="4">
        <v>18018.521964617539</v>
      </c>
      <c r="E20" s="4">
        <v>11095.544820182502</v>
      </c>
      <c r="F20" s="4">
        <v>20000</v>
      </c>
      <c r="G20" s="4">
        <v>15885.933215199959</v>
      </c>
      <c r="H20" s="4">
        <v>20000</v>
      </c>
      <c r="I20" s="4">
        <v>20000</v>
      </c>
    </row>
    <row r="23" spans="3:9" ht="15.75" thickBot="1" x14ac:dyDescent="0.3"/>
    <row r="24" spans="3:9" ht="19.5" thickBot="1" x14ac:dyDescent="0.3">
      <c r="C24" s="1" t="s">
        <v>6</v>
      </c>
      <c r="D24" s="1" t="s">
        <v>7</v>
      </c>
    </row>
    <row r="25" spans="3:9" ht="19.5" thickBot="1" x14ac:dyDescent="0.3">
      <c r="C25" s="1" t="s">
        <v>8</v>
      </c>
      <c r="D25" s="1">
        <v>1.8</v>
      </c>
    </row>
    <row r="26" spans="3:9" ht="19.5" thickBot="1" x14ac:dyDescent="0.3">
      <c r="C26" s="1" t="s">
        <v>22</v>
      </c>
      <c r="D26" s="1">
        <v>0.6</v>
      </c>
    </row>
    <row r="27" spans="3:9" ht="19.5" thickBot="1" x14ac:dyDescent="0.3">
      <c r="C27" s="1" t="s">
        <v>23</v>
      </c>
      <c r="D27" s="1">
        <v>105000</v>
      </c>
    </row>
    <row r="28" spans="3:9" ht="19.5" thickBot="1" x14ac:dyDescent="0.3">
      <c r="C28" s="1" t="s">
        <v>9</v>
      </c>
      <c r="D28" s="1">
        <v>350</v>
      </c>
    </row>
    <row r="29" spans="3:9" ht="19.5" thickBot="1" x14ac:dyDescent="0.3">
      <c r="C29" s="1" t="s">
        <v>24</v>
      </c>
      <c r="D29" s="1">
        <v>800</v>
      </c>
    </row>
    <row r="32" spans="3:9" ht="18.75" x14ac:dyDescent="0.25">
      <c r="C32" s="2" t="s">
        <v>25</v>
      </c>
      <c r="D32" s="6">
        <v>1</v>
      </c>
      <c r="E32" s="6">
        <v>2</v>
      </c>
      <c r="F32" s="6">
        <v>3</v>
      </c>
      <c r="G32" s="6">
        <v>4</v>
      </c>
      <c r="H32" s="6">
        <v>5</v>
      </c>
      <c r="I32" s="6">
        <v>6</v>
      </c>
    </row>
    <row r="33" spans="3:10" ht="18.75" x14ac:dyDescent="0.25">
      <c r="C33" s="5">
        <f>SUM(D33:I33)</f>
        <v>34893.93156035681</v>
      </c>
      <c r="D33" s="6">
        <f>(0.5*(D9*$D$25-$D$26)+0.5*(D15-D9*D16))*D20</f>
        <v>4171.4932459593574</v>
      </c>
      <c r="E33" s="6">
        <f t="shared" ref="E33:I33" si="0">(0.5*(E9*$D$25-$D$26)+0.5*(E15-E9*E16))*E20</f>
        <v>1968.9299480944717</v>
      </c>
      <c r="F33" s="6">
        <f>(0.5*(F9*$D$25-$D$26)+0.5*(F15-F9*F16))*F20</f>
        <v>9324.8880000000008</v>
      </c>
      <c r="G33" s="6">
        <f t="shared" si="0"/>
        <v>3677.4783663029807</v>
      </c>
      <c r="H33" s="6">
        <f t="shared" si="0"/>
        <v>7514.5510000000013</v>
      </c>
      <c r="I33" s="6">
        <f t="shared" si="0"/>
        <v>8236.5910000000022</v>
      </c>
    </row>
    <row r="35" spans="3:10" ht="18.75" x14ac:dyDescent="0.25">
      <c r="C35" s="3" t="s">
        <v>26</v>
      </c>
    </row>
    <row r="36" spans="3:10" ht="18.75" x14ac:dyDescent="0.25">
      <c r="C36" s="3">
        <f>SUM(D20:I20)</f>
        <v>105000</v>
      </c>
      <c r="J36" t="s">
        <v>28</v>
      </c>
    </row>
    <row r="37" spans="3:10" ht="18.75" x14ac:dyDescent="0.25">
      <c r="C37" s="3">
        <f>SUM(D37:I37)</f>
        <v>341.85573268921098</v>
      </c>
      <c r="D37" s="7">
        <f t="shared" ref="D37:I37" si="1">D8+0.001*(D5-D20)*D9</f>
        <v>62.469072040875652</v>
      </c>
      <c r="E37" s="7">
        <f t="shared" si="1"/>
        <v>69.889361245303277</v>
      </c>
      <c r="F37" s="7">
        <f t="shared" si="1"/>
        <v>48.43</v>
      </c>
      <c r="G37" s="7">
        <f t="shared" si="1"/>
        <v>48.077299403032029</v>
      </c>
      <c r="H37" s="7">
        <f t="shared" si="1"/>
        <v>56.92</v>
      </c>
      <c r="I37" s="7">
        <f t="shared" si="1"/>
        <v>56.07</v>
      </c>
      <c r="J37" t="s">
        <v>29</v>
      </c>
    </row>
    <row r="38" spans="3:10" ht="18.75" x14ac:dyDescent="0.25">
      <c r="C38" s="3">
        <f>SUM(D38:I38)</f>
        <v>859.32576129332745</v>
      </c>
      <c r="D38" s="7">
        <f>(D20-D5)*D15-D9*(D20-D5)*D16+D10</f>
        <v>149.48734426541083</v>
      </c>
      <c r="E38" s="7">
        <f t="shared" ref="E38:I38" si="2">(E20-E5)*E15-E9*(E20-E5)*E16+E10</f>
        <v>131.05882984433708</v>
      </c>
      <c r="F38" s="7">
        <f t="shared" si="2"/>
        <v>156.69920000000002</v>
      </c>
      <c r="G38" s="7">
        <f t="shared" si="2"/>
        <v>125.14408718357956</v>
      </c>
      <c r="H38" s="7">
        <f t="shared" si="2"/>
        <v>149.8408</v>
      </c>
      <c r="I38" s="7">
        <f t="shared" si="2"/>
        <v>147.09550000000002</v>
      </c>
      <c r="J38" t="s">
        <v>30</v>
      </c>
    </row>
    <row r="39" spans="3:10" ht="18.75" x14ac:dyDescent="0.25">
      <c r="D39" s="3">
        <f>(D20-D5)*D17-D9*(D20-D5)*D18+(D15*(D20-D5)-D9*(D20-D5)*D16)*D19+D11</f>
        <v>1.0079809197673411E-2</v>
      </c>
      <c r="E39" s="3">
        <f t="shared" ref="E39:I39" si="3">(E20-E5)*E17-E9*(E20-E5)*E18+(E15*(E20-E5)-E9*(E20-E5)*E16)*E19+E11</f>
        <v>2.4999999999999998E-2</v>
      </c>
      <c r="F39" s="3">
        <f t="shared" si="3"/>
        <v>5.9799999999999975E-3</v>
      </c>
      <c r="G39" s="3">
        <f t="shared" si="3"/>
        <v>9.4142521210472657E-3</v>
      </c>
      <c r="H39" s="3">
        <f t="shared" si="3"/>
        <v>8.3999999999999977E-3</v>
      </c>
      <c r="I39" s="3">
        <f t="shared" si="3"/>
        <v>1.0059999999999998E-2</v>
      </c>
      <c r="J39" t="s">
        <v>31</v>
      </c>
    </row>
  </sheetData>
  <mergeCells count="2">
    <mergeCell ref="C1:I2"/>
    <mergeCell ref="D3:I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Эрлихман</dc:creator>
  <cp:lastModifiedBy>Роман Эрлихман</cp:lastModifiedBy>
  <dcterms:created xsi:type="dcterms:W3CDTF">2015-06-05T18:17:20Z</dcterms:created>
  <dcterms:modified xsi:type="dcterms:W3CDTF">2020-12-21T16:20:54Z</dcterms:modified>
</cp:coreProperties>
</file>